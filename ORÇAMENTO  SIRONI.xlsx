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5" windowWidth="15480" windowHeight="8190"/>
  </bookViews>
  <sheets>
    <sheet name="Plan1" sheetId="1" r:id="rId1"/>
    <sheet name="Plan2" sheetId="2" r:id="rId2"/>
    <sheet name="Plan3" sheetId="3" r:id="rId3"/>
  </sheets>
  <calcPr calcId="124519"/>
</workbook>
</file>

<file path=xl/calcChain.xml><?xml version="1.0" encoding="utf-8"?>
<calcChain xmlns="http://schemas.openxmlformats.org/spreadsheetml/2006/main">
  <c r="L46" i="1"/>
  <c r="L16"/>
  <c r="L41"/>
  <c r="L42"/>
  <c r="L45"/>
  <c r="L47"/>
  <c r="L17"/>
  <c r="L18"/>
  <c r="L19"/>
  <c r="L20"/>
  <c r="L21"/>
  <c r="L48"/>
  <c r="D126"/>
  <c r="K9"/>
  <c r="K52"/>
  <c r="L26"/>
  <c r="L27"/>
  <c r="L28"/>
  <c r="L29"/>
  <c r="K53"/>
  <c r="K54"/>
  <c r="K55"/>
</calcChain>
</file>

<file path=xl/sharedStrings.xml><?xml version="1.0" encoding="utf-8"?>
<sst xmlns="http://schemas.openxmlformats.org/spreadsheetml/2006/main" count="109" uniqueCount="89">
  <si>
    <t>===========================================================================================</t>
  </si>
  <si>
    <t>Serviços Próprios</t>
  </si>
  <si>
    <t>___________________________________________________________________________________________</t>
  </si>
  <si>
    <t>Serviços Terceirizados</t>
  </si>
  <si>
    <t>Produtos</t>
  </si>
  <si>
    <t>Demonstrativo</t>
  </si>
  <si>
    <t xml:space="preserve">               Serviços Próprios.............................................          0,00</t>
  </si>
  <si>
    <t>Observações</t>
  </si>
  <si>
    <t xml:space="preserve"> Condições Gerais:</t>
  </si>
  <si>
    <t xml:space="preserve"> maior que provoquem atraso no início ou na entrega dos serviços contratados;</t>
  </si>
  <si>
    <t xml:space="preserve"> </t>
  </si>
  <si>
    <t xml:space="preserve"> Peças e Serviços Extraordinários: O valor total deste orçamento poderá sofrer alteração caso fique constatada, quando</t>
  </si>
  <si>
    <t xml:space="preserve"> da execução do reparo, a necessidade técnica de inclusão de peças e/ou serviços,inclusive de terceiros, que não constem</t>
  </si>
  <si>
    <t xml:space="preserve"> do valor inicialmente orçado. Tal alteração será submetida previamente à aprovação do cliente.</t>
  </si>
  <si>
    <t xml:space="preserve"> não o retorno das peças usadas substituídas do equipamentos objeto deste orçamento. Em caso afirmativo, as mesmas </t>
  </si>
  <si>
    <t xml:space="preserve"> serão devolvidas após o faturamento do serviço, caso contrário as mesmas serão automaticamente sucateadas;</t>
  </si>
  <si>
    <t xml:space="preserve"> Retirada de Equipamento: Na necessidade de desmontagem do equipamento para orçamento e se esse orçamento não vier a </t>
  </si>
  <si>
    <t xml:space="preserve"> ser aprovado,o cliente deverá retirar o equipamento de nossas oficinas, no estado em que se encontrar, no prazo máximo</t>
  </si>
  <si>
    <t xml:space="preserve"> de onde o mesmo foi retirado.</t>
  </si>
  <si>
    <t xml:space="preserve"> Garantia:</t>
  </si>
  <si>
    <t xml:space="preserve"> Peças: 180 (cento e oitenta) dias a contar da data da conclusão dos serviços;</t>
  </si>
  <si>
    <t xml:space="preserve"> Serviços Próprios e Terceirizados: 90 (noventa) dias a contar da data da conclusão dos serviços.</t>
  </si>
  <si>
    <t xml:space="preserve"> Obs.: Não incorre em garantia os casos em que, após a entrega dos serviços contratados, for verificado mal</t>
  </si>
  <si>
    <t xml:space="preserve"> funcionamento do equipamento ocasionado por seu uso inadequado e/ou indevido; por utilização de combustivel ou </t>
  </si>
  <si>
    <t xml:space="preserve"> quaisquer outros produtos quimicos não recomendados; por consequente fadiga de componentes, não detectada - por</t>
  </si>
  <si>
    <t xml:space="preserve"> questões técnicas - na feitura desse orçamento, especialmente daqueles que compõe o sistema de combustível; e</t>
  </si>
  <si>
    <t xml:space="preserve"> quando, no período de garantia, o equipamento for reparado ou manuseado por técnico que não seja autorizado pela </t>
  </si>
  <si>
    <t xml:space="preserve"> Condições de Pagamento: </t>
  </si>
  <si>
    <t xml:space="preserve"> Dados Bancários para Depósito:</t>
  </si>
  <si>
    <t xml:space="preserve"> Validade deste orçamento: 07 (sete) dias a contar da data de emissão do orçamento;</t>
  </si>
  <si>
    <t xml:space="preserve"> Aprovação:</t>
  </si>
  <si>
    <t xml:space="preserve"> Autorizo o Sr(a): .................................................................................................  Função: ............................................ a receber</t>
  </si>
  <si>
    <t xml:space="preserve"> os serviço(s) contratado(s);</t>
  </si>
  <si>
    <t xml:space="preserve"> ........................................................................ Em ....../......../.................</t>
  </si>
  <si>
    <t xml:space="preserve"> Cliente (Nome, assinatura, carimbo)</t>
  </si>
  <si>
    <t>UNITARIO</t>
  </si>
  <si>
    <t>TOTAL</t>
  </si>
  <si>
    <t>QTDE</t>
  </si>
  <si>
    <t>DESCRIÇÃO</t>
  </si>
  <si>
    <t>SUB TOTAL</t>
  </si>
  <si>
    <t>DATA DE EMISSÃO</t>
  </si>
  <si>
    <t>LOCALIZAÇÃO</t>
  </si>
  <si>
    <t>ORÇAMENTO Nº</t>
  </si>
  <si>
    <t>EMBARCAÇÃO</t>
  </si>
  <si>
    <t>PROPRIETÁRIO</t>
  </si>
  <si>
    <t>RODOVIA BR 116, Nº 12.756 VILA FANNY</t>
  </si>
  <si>
    <t>CEP 81690-200 FONE (41) 3333-9011</t>
  </si>
  <si>
    <t>CURITIBA - PARANÁ</t>
  </si>
  <si>
    <t>assistenciatecnica@mmnautica.com.br</t>
  </si>
  <si>
    <r>
      <t xml:space="preserve">           </t>
    </r>
    <r>
      <rPr>
        <b/>
        <i/>
        <sz val="14"/>
        <rFont val="Arial Narrow"/>
        <family val="2"/>
      </rPr>
      <t>M M SERVIÇOS TÉCNICOS EM MOTORES LTDA</t>
    </r>
  </si>
  <si>
    <t xml:space="preserve"> A MM NAÚTICA E/OU SEUS FORNECEDORES não serão responsáveis por eventos e/ou custos resultantes de casos fortuitos e/ou força </t>
  </si>
  <si>
    <t>MM NAÚTICA. Em caso de reforma do(s) motor(es), a garantia MM NAÚTICA não cobrirá eventuais danos apresentados, caso</t>
  </si>
  <si>
    <t xml:space="preserve"> o(s) motor(es) não tenha(m) sido submetidos à revisão, pela MM NAÚTICA, no prazo</t>
  </si>
  <si>
    <t>**********  Visite nosso site: www.mmnautica.com.br  **********</t>
  </si>
  <si>
    <t xml:space="preserve"> Retorno de peças usadas (sucata): Após a aprovação deste orçamento, o cliente deverá informar à MM NAÚTICA se deseja ou</t>
  </si>
  <si>
    <t xml:space="preserve"> de (30) dias. Passado esse prazo o equipamento será remetido pela MM NAÚTICA sob as expensas do cliente, para o local</t>
  </si>
  <si>
    <t xml:space="preserve"> Pedimos a gentileza de no caso de aprovação deste que seja indicado a pessoa que poderá receber os serviços em seu nome;</t>
  </si>
  <si>
    <t>Data de início da execução dos serviços: Até (10) dias úteis após a data de aprovação deste orçamento;</t>
  </si>
  <si>
    <t xml:space="preserve">Os prazos para início e conclusão dos serviços poderão sofrer alteração em caso de greve da Receita Federal, Orgãos </t>
  </si>
  <si>
    <t xml:space="preserve">Aduaneiros e/ou outros agentes que possam vir a interferir na liberação das peças importadas necessárias ao reparo </t>
  </si>
  <si>
    <t>do motor.</t>
  </si>
  <si>
    <t xml:space="preserve"> A cobrança dessas peças e/ou serviços extras será feita através de boleto bancário com vencimento ajustado entre as partes </t>
  </si>
  <si>
    <t xml:space="preserve"> Os serviços de reparo em equipamentos dentro do período de garantia MM NAÚTICA, serão executados no estado do</t>
  </si>
  <si>
    <t xml:space="preserve">Paraná ou em outros estados, independentemente do estado de funcionamento desses equipamentos. O atendimento nesses casos, </t>
  </si>
  <si>
    <t>acarretará ao cliente o pagamento devidamente orçados e submetidos à sua aprovação, referente aos custos de deslocamento a um</t>
  </si>
  <si>
    <t>real por kilómetro rodado, com reposição de peças e mão de obra em cortesia.</t>
  </si>
  <si>
    <t xml:space="preserve"> de 20 (vinte) horas ou 6 (seis) meses da data de entrega do serviço, o que primeiro ocorrer.</t>
  </si>
  <si>
    <t>MARINHERO</t>
  </si>
  <si>
    <t>MÃO DE OBRA MANUTENÇÃO MAIS DIAGNOSTICO COMPUTADORIZADO.</t>
  </si>
  <si>
    <t xml:space="preserve">MANUTENÇÃO PREVENTIVA </t>
  </si>
  <si>
    <t>MERCRUISER - PARELHA 4.2 320HP</t>
  </si>
  <si>
    <t>1456 -  SIRONI ANTONIO CAVAGNOLI</t>
  </si>
  <si>
    <t>MARINA TEDESCO</t>
  </si>
  <si>
    <t>GALAO DE OLEO CARTER DIESEL</t>
  </si>
  <si>
    <t>OLEO DE RABETA</t>
  </si>
  <si>
    <t>FILTRO DE OLEO</t>
  </si>
  <si>
    <t>FILTRO DE COMBUSTIVEL</t>
  </si>
  <si>
    <t>FILTRO DA TURBINA</t>
  </si>
  <si>
    <t xml:space="preserve">RACOR </t>
  </si>
  <si>
    <t>CORREIA DIREÇAO</t>
  </si>
  <si>
    <t>CORREIA ALTERNADOR</t>
  </si>
  <si>
    <t xml:space="preserve">                 CONDIÇÕES PARA PAGAMENTO  BOLETO BANCARIO 21 / 45 DIAS</t>
  </si>
  <si>
    <t>ROTOR</t>
  </si>
  <si>
    <t>KIT ANODO</t>
  </si>
  <si>
    <t>FLUIDO RADIADOR</t>
  </si>
  <si>
    <t>DESLOCAMENTO CURITIBA / BALNEARIO CAMBORIU</t>
  </si>
  <si>
    <t xml:space="preserve">               Serviços Terceirizados........................................       </t>
  </si>
  <si>
    <t xml:space="preserve">               Peças a serem Aplicadas.......................................    </t>
  </si>
  <si>
    <t xml:space="preserve">               Valor Total................................................... 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</si>
</sst>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6"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0"/>
      <color indexed="8"/>
      <name val="Courier New"/>
      <family val="3"/>
    </font>
    <font>
      <sz val="8.5"/>
      <name val="MS Sans Serif"/>
      <family val="2"/>
    </font>
    <font>
      <sz val="10"/>
      <color indexed="8"/>
      <name val="Courier New"/>
      <family val="3"/>
    </font>
    <font>
      <sz val="9"/>
      <color indexed="8"/>
      <name val="Arial Black"/>
      <family val="2"/>
    </font>
    <font>
      <sz val="9"/>
      <color indexed="8"/>
      <name val="Arial"/>
      <family val="2"/>
    </font>
    <font>
      <sz val="8"/>
      <name val="Arial"/>
    </font>
    <font>
      <u/>
      <sz val="10"/>
      <color indexed="12"/>
      <name val="Arial"/>
    </font>
    <font>
      <b/>
      <i/>
      <sz val="14"/>
      <name val="Arial Narrow"/>
      <family val="2"/>
    </font>
    <font>
      <b/>
      <sz val="14"/>
      <name val="Times New Roman"/>
      <family val="1"/>
    </font>
    <font>
      <i/>
      <sz val="10"/>
      <name val="Arial Narrow"/>
      <family val="2"/>
    </font>
    <font>
      <i/>
      <sz val="10"/>
      <color indexed="8"/>
      <name val="Arial Narrow"/>
      <family val="2"/>
    </font>
    <font>
      <i/>
      <sz val="9"/>
      <color indexed="8"/>
      <name val="Arial Narrow"/>
      <family val="2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9" fillId="3" borderId="0" xfId="1" applyFill="1" applyAlignment="1" applyProtection="1"/>
    <xf numFmtId="0" fontId="3" fillId="3" borderId="0" xfId="0" applyFont="1" applyFill="1"/>
    <xf numFmtId="0" fontId="5" fillId="3" borderId="0" xfId="0" applyFont="1" applyFill="1"/>
    <xf numFmtId="14" fontId="0" fillId="3" borderId="0" xfId="0" applyNumberFormat="1" applyFill="1"/>
    <xf numFmtId="0" fontId="4" fillId="3" borderId="0" xfId="0" applyFont="1" applyFill="1"/>
    <xf numFmtId="0" fontId="3" fillId="3" borderId="1" xfId="0" applyFont="1" applyFill="1" applyBorder="1"/>
    <xf numFmtId="0" fontId="5" fillId="3" borderId="1" xfId="0" applyFont="1" applyFill="1" applyBorder="1" applyProtection="1">
      <protection locked="0"/>
    </xf>
    <xf numFmtId="43" fontId="0" fillId="3" borderId="1" xfId="2" applyFont="1" applyFill="1" applyBorder="1" applyProtection="1">
      <protection locked="0"/>
    </xf>
    <xf numFmtId="43" fontId="0" fillId="3" borderId="1" xfId="2" applyFont="1" applyFill="1" applyBorder="1"/>
    <xf numFmtId="4" fontId="3" fillId="3" borderId="0" xfId="0" applyNumberFormat="1" applyFont="1" applyFill="1"/>
    <xf numFmtId="0" fontId="6" fillId="3" borderId="0" xfId="0" applyFont="1" applyFill="1"/>
    <xf numFmtId="0" fontId="7" fillId="3" borderId="0" xfId="0" applyFont="1" applyFill="1"/>
    <xf numFmtId="0" fontId="3" fillId="3" borderId="1" xfId="0" applyFont="1" applyFill="1" applyBorder="1" applyAlignment="1">
      <alignment horizontal="center"/>
    </xf>
    <xf numFmtId="0" fontId="12" fillId="3" borderId="0" xfId="0" applyFont="1" applyFill="1"/>
    <xf numFmtId="43" fontId="0" fillId="3" borderId="0" xfId="0" applyNumberFormat="1" applyFill="1"/>
    <xf numFmtId="0" fontId="15" fillId="3" borderId="1" xfId="0" applyFont="1" applyFill="1" applyBorder="1" applyAlignment="1">
      <alignment horizontal="center"/>
    </xf>
    <xf numFmtId="0" fontId="15" fillId="3" borderId="1" xfId="0" applyFont="1" applyFill="1" applyBorder="1"/>
    <xf numFmtId="43" fontId="0" fillId="3" borderId="0" xfId="2" applyFont="1" applyFill="1" applyProtection="1"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11" fillId="3" borderId="0" xfId="0" applyFont="1" applyFill="1" applyAlignment="1">
      <alignment horizontal="right"/>
    </xf>
    <xf numFmtId="0" fontId="0" fillId="3" borderId="1" xfId="0" applyFill="1" applyBorder="1" applyAlignment="1" applyProtection="1">
      <alignment horizontal="center"/>
      <protection locked="0"/>
    </xf>
    <xf numFmtId="0" fontId="15" fillId="3" borderId="1" xfId="0" applyFont="1" applyFill="1" applyBorder="1" applyAlignment="1">
      <alignment horizontal="center"/>
    </xf>
    <xf numFmtId="0" fontId="12" fillId="3" borderId="0" xfId="0" applyFont="1" applyFill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43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14" fillId="3" borderId="0" xfId="0" applyFont="1" applyFill="1" applyAlignment="1" applyProtection="1">
      <alignment horizontal="center" wrapText="1"/>
      <protection locked="0"/>
    </xf>
    <xf numFmtId="0" fontId="13" fillId="3" borderId="0" xfId="0" applyFont="1" applyFill="1" applyAlignment="1" applyProtection="1">
      <alignment horizontal="center" wrapText="1"/>
      <protection locked="0"/>
    </xf>
  </cellXfs>
  <cellStyles count="3">
    <cellStyle name="Hyperlink" xfId="1" builtinId="8"/>
    <cellStyle name="Normal" xfId="0" builtinId="0"/>
    <cellStyle name="Separador de milhares" xfId="2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0</xdr:row>
      <xdr:rowOff>66675</xdr:rowOff>
    </xdr:from>
    <xdr:to>
      <xdr:col>3</xdr:col>
      <xdr:colOff>333375</xdr:colOff>
      <xdr:row>6</xdr:row>
      <xdr:rowOff>9525</xdr:rowOff>
    </xdr:to>
    <xdr:pic>
      <xdr:nvPicPr>
        <xdr:cNvPr id="1025" name="Picture 1" descr="mmservic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0025" y="66675"/>
          <a:ext cx="1438275" cy="885825"/>
        </a:xfrm>
        <a:prstGeom prst="rect">
          <a:avLst/>
        </a:prstGeom>
        <a:noFill/>
      </xdr:spPr>
    </xdr:pic>
    <xdr:clientData/>
  </xdr:twoCellAnchor>
  <xdr:twoCellAnchor>
    <xdr:from>
      <xdr:col>1</xdr:col>
      <xdr:colOff>219075</xdr:colOff>
      <xdr:row>73</xdr:row>
      <xdr:rowOff>57150</xdr:rowOff>
    </xdr:from>
    <xdr:to>
      <xdr:col>3</xdr:col>
      <xdr:colOff>428625</xdr:colOff>
      <xdr:row>78</xdr:row>
      <xdr:rowOff>47625</xdr:rowOff>
    </xdr:to>
    <xdr:pic>
      <xdr:nvPicPr>
        <xdr:cNvPr id="1026" name="Picture 2" descr="mmservic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4800" y="11791950"/>
          <a:ext cx="1428750" cy="8953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ssistenciatecnica@mmnautica.com.br" TargetMode="External"/><Relationship Id="rId1" Type="http://schemas.openxmlformats.org/officeDocument/2006/relationships/hyperlink" Target="mailto:assistenciatecnica@mmnautica.com.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7"/>
  <sheetViews>
    <sheetView tabSelected="1" topLeftCell="A25" workbookViewId="0">
      <selection activeCell="N53" sqref="N53"/>
    </sheetView>
  </sheetViews>
  <sheetFormatPr defaultRowHeight="12.75"/>
  <cols>
    <col min="1" max="1" width="1.28515625" customWidth="1"/>
    <col min="11" max="11" width="10.42578125" customWidth="1"/>
    <col min="12" max="12" width="12" customWidth="1"/>
  </cols>
  <sheetData>
    <row r="1" spans="1:13" ht="18.75">
      <c r="A1" s="2"/>
      <c r="B1" s="3"/>
      <c r="C1" s="2"/>
      <c r="D1" s="2"/>
      <c r="E1" s="2"/>
      <c r="F1" s="25" t="s">
        <v>49</v>
      </c>
      <c r="G1" s="25"/>
      <c r="H1" s="25"/>
      <c r="I1" s="25"/>
      <c r="J1" s="25"/>
      <c r="K1" s="25"/>
      <c r="L1" s="2"/>
      <c r="M1" s="2"/>
    </row>
    <row r="2" spans="1:13">
      <c r="A2" s="2"/>
      <c r="B2" s="2"/>
      <c r="C2" s="2"/>
      <c r="D2" s="2"/>
      <c r="E2" s="2"/>
      <c r="F2" s="2"/>
      <c r="G2" s="2" t="s">
        <v>45</v>
      </c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 t="s">
        <v>46</v>
      </c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 t="s">
        <v>47</v>
      </c>
      <c r="I4" s="2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4" t="s">
        <v>48</v>
      </c>
      <c r="H5" s="2"/>
      <c r="I5" s="2"/>
      <c r="J5" s="2"/>
      <c r="K5" s="2"/>
      <c r="L5" s="2"/>
      <c r="M5" s="2"/>
    </row>
    <row r="6" spans="1:13" ht="4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6" customHeight="1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3.5">
      <c r="A9" s="2"/>
      <c r="B9" s="6" t="s">
        <v>42</v>
      </c>
      <c r="C9" s="2"/>
      <c r="D9" s="28"/>
      <c r="E9" s="28"/>
      <c r="F9" s="17"/>
      <c r="G9" s="17"/>
      <c r="H9" s="17"/>
      <c r="I9" s="2" t="s">
        <v>40</v>
      </c>
      <c r="J9" s="2"/>
      <c r="K9" s="7">
        <f ca="1">TODAY()</f>
        <v>41626</v>
      </c>
      <c r="L9" s="2"/>
      <c r="M9" s="2"/>
    </row>
    <row r="10" spans="1:13" ht="13.5">
      <c r="A10" s="2"/>
      <c r="B10" s="6" t="s">
        <v>43</v>
      </c>
      <c r="C10" s="2"/>
      <c r="D10" s="28" t="s">
        <v>70</v>
      </c>
      <c r="E10" s="28"/>
      <c r="F10" s="28"/>
      <c r="G10" s="28"/>
      <c r="H10" s="17"/>
      <c r="I10" s="2" t="s">
        <v>41</v>
      </c>
      <c r="J10" s="2"/>
      <c r="K10" s="28" t="s">
        <v>72</v>
      </c>
      <c r="L10" s="28"/>
      <c r="M10" s="28"/>
    </row>
    <row r="11" spans="1:13" ht="13.5">
      <c r="A11" s="2"/>
      <c r="B11" s="6" t="s">
        <v>44</v>
      </c>
      <c r="C11" s="2"/>
      <c r="D11" s="28" t="s">
        <v>71</v>
      </c>
      <c r="E11" s="28"/>
      <c r="F11" s="28"/>
      <c r="G11" s="28"/>
      <c r="H11" s="28"/>
      <c r="I11" s="2" t="s">
        <v>67</v>
      </c>
      <c r="J11" s="2"/>
      <c r="K11" s="28"/>
      <c r="L11" s="28"/>
      <c r="M11" s="28"/>
    </row>
    <row r="12" spans="1:13" ht="7.5" customHeight="1">
      <c r="A12" s="2"/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3.5">
      <c r="A13" s="2"/>
      <c r="B13" s="6" t="s"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3.5">
      <c r="A14" s="2"/>
      <c r="B14" s="5" t="s">
        <v>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3.5">
      <c r="A15" s="2"/>
      <c r="B15" s="16" t="s">
        <v>37</v>
      </c>
      <c r="C15" s="27" t="s">
        <v>38</v>
      </c>
      <c r="D15" s="27"/>
      <c r="E15" s="27"/>
      <c r="F15" s="27"/>
      <c r="G15" s="27"/>
      <c r="H15" s="27"/>
      <c r="I15" s="27"/>
      <c r="J15" s="27"/>
      <c r="K15" s="19" t="s">
        <v>35</v>
      </c>
      <c r="L15" s="19" t="s">
        <v>36</v>
      </c>
      <c r="M15" s="2"/>
    </row>
    <row r="16" spans="1:13" ht="13.5">
      <c r="A16" s="2"/>
      <c r="B16" s="10">
        <v>1</v>
      </c>
      <c r="C16" s="26" t="s">
        <v>68</v>
      </c>
      <c r="D16" s="26"/>
      <c r="E16" s="26"/>
      <c r="F16" s="26"/>
      <c r="G16" s="26"/>
      <c r="H16" s="26"/>
      <c r="I16" s="26"/>
      <c r="J16" s="26"/>
      <c r="K16" s="11">
        <v>2800</v>
      </c>
      <c r="L16" s="12">
        <f>B16*K16</f>
        <v>2800</v>
      </c>
      <c r="M16" s="2"/>
    </row>
    <row r="17" spans="1:13" ht="13.5">
      <c r="A17" s="2"/>
      <c r="B17" s="10">
        <v>1</v>
      </c>
      <c r="C17" s="26" t="s">
        <v>85</v>
      </c>
      <c r="D17" s="26"/>
      <c r="E17" s="26"/>
      <c r="F17" s="26"/>
      <c r="G17" s="26"/>
      <c r="H17" s="26"/>
      <c r="I17" s="26"/>
      <c r="J17" s="26"/>
      <c r="K17" s="11">
        <v>300</v>
      </c>
      <c r="L17" s="12">
        <f>B17*K17</f>
        <v>300</v>
      </c>
      <c r="M17" s="2"/>
    </row>
    <row r="18" spans="1:13" ht="13.5">
      <c r="A18" s="2"/>
      <c r="B18" s="10"/>
      <c r="C18" s="26"/>
      <c r="D18" s="26"/>
      <c r="E18" s="26"/>
      <c r="F18" s="26"/>
      <c r="G18" s="26"/>
      <c r="H18" s="26"/>
      <c r="I18" s="26"/>
      <c r="J18" s="26"/>
      <c r="K18" s="11"/>
      <c r="L18" s="12">
        <f>B18*K18</f>
        <v>0</v>
      </c>
      <c r="M18" s="2"/>
    </row>
    <row r="19" spans="1:13" ht="13.5">
      <c r="A19" s="2"/>
      <c r="B19" s="10"/>
      <c r="C19" s="30"/>
      <c r="D19" s="31"/>
      <c r="E19" s="31"/>
      <c r="F19" s="31"/>
      <c r="G19" s="31"/>
      <c r="H19" s="31"/>
      <c r="I19" s="31"/>
      <c r="J19" s="32"/>
      <c r="K19" s="11"/>
      <c r="L19" s="12">
        <f>B19*K19</f>
        <v>0</v>
      </c>
      <c r="M19" s="2"/>
    </row>
    <row r="20" spans="1:13" ht="13.5">
      <c r="A20" s="2"/>
      <c r="B20" s="10"/>
      <c r="C20" s="26"/>
      <c r="D20" s="26"/>
      <c r="E20" s="26"/>
      <c r="F20" s="26"/>
      <c r="G20" s="26"/>
      <c r="H20" s="26"/>
      <c r="I20" s="26"/>
      <c r="J20" s="26"/>
      <c r="K20" s="21"/>
      <c r="L20" s="12">
        <f>B20*K20</f>
        <v>0</v>
      </c>
      <c r="M20" s="2"/>
    </row>
    <row r="21" spans="1:13" ht="13.5">
      <c r="A21" s="2"/>
      <c r="B21" s="29" t="s">
        <v>39</v>
      </c>
      <c r="C21" s="29"/>
      <c r="D21" s="29"/>
      <c r="E21" s="29"/>
      <c r="F21" s="29"/>
      <c r="G21" s="29"/>
      <c r="H21" s="29"/>
      <c r="I21" s="29"/>
      <c r="J21" s="29"/>
      <c r="K21" s="12"/>
      <c r="L21" s="12">
        <f>L16+L17+L18+L19+L20</f>
        <v>3100</v>
      </c>
      <c r="M21" s="2"/>
    </row>
    <row r="22" spans="1:13" ht="13.5">
      <c r="A22" s="2"/>
      <c r="B22" s="5" t="s">
        <v>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3.5">
      <c r="A24" s="2"/>
      <c r="B24" s="5" t="s">
        <v>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3.5">
      <c r="A25" s="2"/>
      <c r="B25" s="9" t="s">
        <v>37</v>
      </c>
      <c r="C25" s="27" t="s">
        <v>38</v>
      </c>
      <c r="D25" s="27"/>
      <c r="E25" s="27"/>
      <c r="F25" s="27"/>
      <c r="G25" s="27"/>
      <c r="H25" s="27"/>
      <c r="I25" s="27"/>
      <c r="J25" s="27"/>
      <c r="K25" s="20" t="s">
        <v>35</v>
      </c>
      <c r="L25" s="20" t="s">
        <v>36</v>
      </c>
      <c r="M25" s="2"/>
    </row>
    <row r="26" spans="1:13" ht="13.5">
      <c r="A26" s="2"/>
      <c r="B26" s="10"/>
      <c r="C26" s="26"/>
      <c r="D26" s="26"/>
      <c r="E26" s="26"/>
      <c r="F26" s="26"/>
      <c r="G26" s="26"/>
      <c r="H26" s="26"/>
      <c r="I26" s="26"/>
      <c r="J26" s="26"/>
      <c r="K26" s="11"/>
      <c r="L26" s="12">
        <f>B26*K26</f>
        <v>0</v>
      </c>
      <c r="M26" s="2"/>
    </row>
    <row r="27" spans="1:13" ht="13.5">
      <c r="A27" s="2"/>
      <c r="B27" s="10"/>
      <c r="C27" s="26"/>
      <c r="D27" s="26"/>
      <c r="E27" s="26"/>
      <c r="F27" s="26"/>
      <c r="G27" s="26"/>
      <c r="H27" s="26"/>
      <c r="I27" s="26"/>
      <c r="J27" s="26"/>
      <c r="K27" s="11"/>
      <c r="L27" s="12">
        <f>B27*K27</f>
        <v>0</v>
      </c>
      <c r="M27" s="2"/>
    </row>
    <row r="28" spans="1:13" ht="13.5">
      <c r="A28" s="2"/>
      <c r="B28" s="10"/>
      <c r="C28" s="26"/>
      <c r="D28" s="26"/>
      <c r="E28" s="26"/>
      <c r="F28" s="26"/>
      <c r="G28" s="26"/>
      <c r="H28" s="26"/>
      <c r="I28" s="26"/>
      <c r="J28" s="26"/>
      <c r="K28" s="11"/>
      <c r="L28" s="12">
        <f>B28*K28</f>
        <v>0</v>
      </c>
      <c r="M28" s="2"/>
    </row>
    <row r="29" spans="1:13" ht="13.5">
      <c r="A29" s="2"/>
      <c r="B29" s="29" t="s">
        <v>39</v>
      </c>
      <c r="C29" s="29"/>
      <c r="D29" s="29"/>
      <c r="E29" s="29"/>
      <c r="F29" s="29"/>
      <c r="G29" s="29"/>
      <c r="H29" s="29"/>
      <c r="I29" s="29"/>
      <c r="J29" s="29"/>
      <c r="K29" s="12"/>
      <c r="L29" s="12">
        <f>L26+L27+L28</f>
        <v>0</v>
      </c>
      <c r="M29" s="2"/>
    </row>
    <row r="30" spans="1:13" ht="13.5">
      <c r="A30" s="2"/>
      <c r="B30" s="5" t="s">
        <v>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3.5">
      <c r="A32" s="2"/>
      <c r="B32" s="5" t="s">
        <v>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3.5">
      <c r="A33" s="2"/>
      <c r="B33" s="16" t="s">
        <v>37</v>
      </c>
      <c r="C33" s="27" t="s">
        <v>38</v>
      </c>
      <c r="D33" s="27"/>
      <c r="E33" s="27"/>
      <c r="F33" s="27"/>
      <c r="G33" s="27"/>
      <c r="H33" s="27"/>
      <c r="I33" s="27"/>
      <c r="J33" s="27"/>
      <c r="K33" s="19" t="s">
        <v>35</v>
      </c>
      <c r="L33" s="19" t="s">
        <v>36</v>
      </c>
      <c r="M33" s="2"/>
    </row>
    <row r="34" spans="1:13" ht="13.5">
      <c r="A34" s="2"/>
      <c r="B34" s="10">
        <v>8</v>
      </c>
      <c r="C34" s="26" t="s">
        <v>73</v>
      </c>
      <c r="D34" s="26"/>
      <c r="E34" s="26"/>
      <c r="F34" s="26"/>
      <c r="G34" s="26"/>
      <c r="H34" s="26"/>
      <c r="I34" s="26"/>
      <c r="J34" s="26"/>
      <c r="K34" s="11">
        <v>95</v>
      </c>
      <c r="L34" s="12">
        <v>760</v>
      </c>
      <c r="M34" s="2"/>
    </row>
    <row r="35" spans="1:13" ht="13.5">
      <c r="A35" s="2"/>
      <c r="B35" s="10">
        <v>6</v>
      </c>
      <c r="C35" s="30" t="s">
        <v>74</v>
      </c>
      <c r="D35" s="31"/>
      <c r="E35" s="31"/>
      <c r="F35" s="31"/>
      <c r="G35" s="31"/>
      <c r="H35" s="31"/>
      <c r="I35" s="31"/>
      <c r="J35" s="32"/>
      <c r="K35" s="11">
        <v>95</v>
      </c>
      <c r="L35" s="12">
        <v>570</v>
      </c>
      <c r="M35" s="2"/>
    </row>
    <row r="36" spans="1:13" ht="13.5">
      <c r="A36" s="2">
        <v>1</v>
      </c>
      <c r="B36" s="10">
        <v>2</v>
      </c>
      <c r="C36" s="26" t="s">
        <v>75</v>
      </c>
      <c r="D36" s="26"/>
      <c r="E36" s="26"/>
      <c r="F36" s="26"/>
      <c r="G36" s="26"/>
      <c r="H36" s="26"/>
      <c r="I36" s="26"/>
      <c r="J36" s="26"/>
      <c r="K36" s="11">
        <v>230</v>
      </c>
      <c r="L36" s="12">
        <v>260</v>
      </c>
      <c r="M36" s="2"/>
    </row>
    <row r="37" spans="1:13" ht="13.5">
      <c r="A37" s="2"/>
      <c r="B37" s="10">
        <v>2</v>
      </c>
      <c r="C37" s="30" t="s">
        <v>76</v>
      </c>
      <c r="D37" s="31"/>
      <c r="E37" s="31"/>
      <c r="F37" s="31"/>
      <c r="G37" s="31"/>
      <c r="H37" s="31"/>
      <c r="I37" s="31"/>
      <c r="J37" s="32"/>
      <c r="K37" s="11">
        <v>230</v>
      </c>
      <c r="L37" s="12">
        <v>260</v>
      </c>
      <c r="M37" s="2"/>
    </row>
    <row r="38" spans="1:13" ht="13.5">
      <c r="A38" s="2"/>
      <c r="B38" s="10">
        <v>2</v>
      </c>
      <c r="C38" s="30" t="s">
        <v>77</v>
      </c>
      <c r="D38" s="31"/>
      <c r="E38" s="31"/>
      <c r="F38" s="31"/>
      <c r="G38" s="31"/>
      <c r="H38" s="31"/>
      <c r="I38" s="31"/>
      <c r="J38" s="32"/>
      <c r="K38" s="11">
        <v>120</v>
      </c>
      <c r="L38" s="12">
        <v>240</v>
      </c>
      <c r="M38" s="2"/>
    </row>
    <row r="39" spans="1:13" ht="13.5">
      <c r="A39" s="2"/>
      <c r="B39" s="10">
        <v>2</v>
      </c>
      <c r="C39" s="30" t="s">
        <v>78</v>
      </c>
      <c r="D39" s="31"/>
      <c r="E39" s="31"/>
      <c r="F39" s="31"/>
      <c r="G39" s="31"/>
      <c r="H39" s="31"/>
      <c r="I39" s="31"/>
      <c r="J39" s="32"/>
      <c r="K39" s="11">
        <v>100</v>
      </c>
      <c r="L39" s="12">
        <v>200</v>
      </c>
      <c r="M39" s="2"/>
    </row>
    <row r="40" spans="1:13" ht="13.5">
      <c r="A40" s="2"/>
      <c r="B40" s="10">
        <v>2</v>
      </c>
      <c r="C40" s="26" t="s">
        <v>79</v>
      </c>
      <c r="D40" s="26"/>
      <c r="E40" s="26"/>
      <c r="F40" s="26"/>
      <c r="G40" s="26"/>
      <c r="H40" s="26"/>
      <c r="I40" s="26"/>
      <c r="J40" s="26"/>
      <c r="K40" s="11">
        <v>150</v>
      </c>
      <c r="L40" s="12">
        <v>300</v>
      </c>
      <c r="M40" s="2"/>
    </row>
    <row r="41" spans="1:13" ht="13.5">
      <c r="A41" s="2"/>
      <c r="B41" s="10">
        <v>4</v>
      </c>
      <c r="C41" s="30" t="s">
        <v>80</v>
      </c>
      <c r="D41" s="31"/>
      <c r="E41" s="31"/>
      <c r="F41" s="31"/>
      <c r="G41" s="31"/>
      <c r="H41" s="31"/>
      <c r="I41" s="31"/>
      <c r="J41" s="32"/>
      <c r="K41" s="11">
        <v>250</v>
      </c>
      <c r="L41" s="12">
        <f t="shared" ref="L41:L47" si="0">B41*K41</f>
        <v>1000</v>
      </c>
      <c r="M41" s="2"/>
    </row>
    <row r="42" spans="1:13" ht="13.5">
      <c r="A42" s="2"/>
      <c r="B42" s="10">
        <v>2</v>
      </c>
      <c r="C42" s="30" t="s">
        <v>82</v>
      </c>
      <c r="D42" s="31"/>
      <c r="E42" s="31"/>
      <c r="F42" s="31"/>
      <c r="G42" s="31"/>
      <c r="H42" s="31"/>
      <c r="I42" s="31"/>
      <c r="J42" s="32"/>
      <c r="K42" s="11">
        <v>450</v>
      </c>
      <c r="L42" s="12">
        <f t="shared" si="0"/>
        <v>900</v>
      </c>
      <c r="M42" s="2"/>
    </row>
    <row r="43" spans="1:13" ht="13.5">
      <c r="A43" s="2"/>
      <c r="B43" s="10">
        <v>2</v>
      </c>
      <c r="C43" s="22"/>
      <c r="D43" s="23"/>
      <c r="E43" s="23"/>
      <c r="F43" s="23" t="s">
        <v>83</v>
      </c>
      <c r="G43" s="23"/>
      <c r="H43" s="23"/>
      <c r="I43" s="23"/>
      <c r="J43" s="24"/>
      <c r="K43" s="11">
        <v>480</v>
      </c>
      <c r="L43" s="12">
        <v>960</v>
      </c>
      <c r="M43" s="2"/>
    </row>
    <row r="44" spans="1:13" ht="13.5">
      <c r="A44" s="2"/>
      <c r="B44" s="10">
        <v>8</v>
      </c>
      <c r="C44" s="22"/>
      <c r="D44" s="23"/>
      <c r="E44" s="23"/>
      <c r="F44" s="23" t="s">
        <v>84</v>
      </c>
      <c r="G44" s="23"/>
      <c r="H44" s="23"/>
      <c r="I44" s="23"/>
      <c r="J44" s="24"/>
      <c r="K44" s="11">
        <v>40</v>
      </c>
      <c r="L44" s="12">
        <v>320</v>
      </c>
      <c r="M44" s="2"/>
    </row>
    <row r="45" spans="1:13" ht="16.5" customHeight="1">
      <c r="A45" s="2"/>
      <c r="B45" s="10"/>
      <c r="C45" s="30"/>
      <c r="D45" s="31"/>
      <c r="E45" s="31"/>
      <c r="F45" s="31"/>
      <c r="G45" s="31"/>
      <c r="H45" s="31"/>
      <c r="I45" s="31"/>
      <c r="J45" s="32"/>
      <c r="K45" s="11"/>
      <c r="L45" s="12">
        <f t="shared" si="0"/>
        <v>0</v>
      </c>
      <c r="M45" s="2"/>
    </row>
    <row r="46" spans="1:13" ht="16.5" customHeight="1">
      <c r="A46" s="2"/>
      <c r="B46" s="10"/>
      <c r="C46" s="30"/>
      <c r="D46" s="31"/>
      <c r="E46" s="31"/>
      <c r="F46" s="31"/>
      <c r="G46" s="31"/>
      <c r="H46" s="31"/>
      <c r="I46" s="31"/>
      <c r="J46" s="32"/>
      <c r="K46" s="11"/>
      <c r="L46" s="12">
        <f t="shared" si="0"/>
        <v>0</v>
      </c>
      <c r="M46" s="2"/>
    </row>
    <row r="47" spans="1:13" ht="13.5">
      <c r="A47" s="2"/>
      <c r="B47" s="10"/>
      <c r="C47" s="26"/>
      <c r="D47" s="26"/>
      <c r="E47" s="26"/>
      <c r="F47" s="26"/>
      <c r="G47" s="26"/>
      <c r="H47" s="26"/>
      <c r="I47" s="26"/>
      <c r="J47" s="26"/>
      <c r="K47" s="11"/>
      <c r="L47" s="12">
        <f t="shared" si="0"/>
        <v>0</v>
      </c>
      <c r="M47" s="2"/>
    </row>
    <row r="48" spans="1:13" ht="13.5">
      <c r="A48" s="2"/>
      <c r="B48" s="29" t="s">
        <v>39</v>
      </c>
      <c r="C48" s="29"/>
      <c r="D48" s="29"/>
      <c r="E48" s="29"/>
      <c r="F48" s="29"/>
      <c r="G48" s="29"/>
      <c r="H48" s="29"/>
      <c r="I48" s="29"/>
      <c r="J48" s="29"/>
      <c r="K48" s="12"/>
      <c r="L48" s="12">
        <f>SUM(L34:L47)</f>
        <v>5770</v>
      </c>
      <c r="M48" s="2"/>
    </row>
    <row r="49" spans="1:13" ht="13.5">
      <c r="A49" s="2"/>
      <c r="B49" s="13"/>
      <c r="C49" s="2"/>
      <c r="D49" s="2"/>
      <c r="E49" s="2"/>
      <c r="F49" s="2"/>
      <c r="G49" s="2"/>
      <c r="H49" s="2"/>
      <c r="I49" s="2"/>
      <c r="J49" s="2"/>
      <c r="K49" s="2"/>
      <c r="L49" s="18"/>
      <c r="M49" s="2"/>
    </row>
    <row r="50" spans="1:13" ht="13.5">
      <c r="A50" s="2"/>
      <c r="B50" s="6" t="s">
        <v>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3.5">
      <c r="A51" s="2"/>
      <c r="B51" s="5" t="s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3.5">
      <c r="A52" s="2"/>
      <c r="B52" s="6" t="s">
        <v>6</v>
      </c>
      <c r="C52" s="2"/>
      <c r="D52" s="2"/>
      <c r="E52" s="2"/>
      <c r="F52" s="2"/>
      <c r="G52" s="2"/>
      <c r="H52" s="2"/>
      <c r="I52" s="2"/>
      <c r="J52" s="2"/>
      <c r="K52" s="33">
        <f>L21</f>
        <v>3100</v>
      </c>
      <c r="L52" s="34"/>
      <c r="M52" s="2"/>
    </row>
    <row r="53" spans="1:13" ht="13.5">
      <c r="A53" s="2"/>
      <c r="B53" s="6" t="s">
        <v>86</v>
      </c>
      <c r="C53" s="2"/>
      <c r="D53" s="2"/>
      <c r="E53" s="2"/>
      <c r="F53" s="2"/>
      <c r="G53" s="2"/>
      <c r="H53" s="2"/>
      <c r="I53" s="2"/>
      <c r="J53" s="2"/>
      <c r="K53" s="33">
        <f>L29</f>
        <v>0</v>
      </c>
      <c r="L53" s="34"/>
      <c r="M53" s="2"/>
    </row>
    <row r="54" spans="1:13" ht="13.5">
      <c r="A54" s="2"/>
      <c r="B54" s="6" t="s">
        <v>87</v>
      </c>
      <c r="C54" s="2"/>
      <c r="D54" s="2"/>
      <c r="E54" s="2"/>
      <c r="F54" s="2"/>
      <c r="G54" s="2"/>
      <c r="H54" s="2"/>
      <c r="I54" s="2"/>
      <c r="J54" s="2"/>
      <c r="K54" s="33">
        <f>L48</f>
        <v>5770</v>
      </c>
      <c r="L54" s="34"/>
      <c r="M54" s="2"/>
    </row>
    <row r="55" spans="1:13" ht="13.5">
      <c r="A55" s="2"/>
      <c r="B55" s="5" t="s">
        <v>88</v>
      </c>
      <c r="C55" s="2"/>
      <c r="D55" s="2"/>
      <c r="E55" s="2"/>
      <c r="F55" s="2"/>
      <c r="G55" s="2"/>
      <c r="H55" s="2"/>
      <c r="I55" s="2"/>
      <c r="J55" s="2"/>
      <c r="K55" s="33">
        <f>K52+K53+K54</f>
        <v>8870</v>
      </c>
      <c r="L55" s="34"/>
      <c r="M55" s="2"/>
    </row>
    <row r="56" spans="1:13" ht="13.5" customHeight="1">
      <c r="A56" s="2"/>
      <c r="B56" s="6" t="s"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3.5" customHeight="1">
      <c r="A57" s="2"/>
      <c r="B57" s="5" t="s">
        <v>7</v>
      </c>
      <c r="C57" s="2"/>
      <c r="D57" s="34" t="s">
        <v>69</v>
      </c>
      <c r="E57" s="34"/>
      <c r="F57" s="34"/>
      <c r="G57" s="34"/>
      <c r="H57" s="34"/>
      <c r="I57" s="34"/>
      <c r="J57" s="34"/>
      <c r="K57" s="34"/>
      <c r="L57" s="2"/>
      <c r="M57" s="2"/>
    </row>
    <row r="58" spans="1:13" ht="13.5" customHeight="1">
      <c r="A58" s="2"/>
      <c r="B58" s="36" t="s">
        <v>81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2"/>
    </row>
    <row r="59" spans="1:13" ht="13.5" customHeight="1">
      <c r="A59" s="2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2"/>
    </row>
    <row r="60" spans="1:13">
      <c r="A60" s="2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2"/>
    </row>
    <row r="61" spans="1:13" ht="13.5" customHeight="1">
      <c r="A61" s="2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2"/>
    </row>
    <row r="62" spans="1:13">
      <c r="A62" s="2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2"/>
    </row>
    <row r="63" spans="1:13">
      <c r="A63" s="2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2"/>
    </row>
    <row r="64" spans="1:13">
      <c r="A64" s="2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2"/>
    </row>
    <row r="65" spans="1:13" ht="14.25">
      <c r="A65" s="2"/>
      <c r="B65" s="14" t="s">
        <v>8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15" t="s">
        <v>57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15" t="s">
        <v>58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15" t="s">
        <v>59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15" t="s">
        <v>60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1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15" t="s">
        <v>50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15" t="s">
        <v>9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8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8.75">
      <c r="A74" s="2"/>
      <c r="B74" s="3"/>
      <c r="C74" s="2"/>
      <c r="D74" s="2"/>
      <c r="E74" s="2"/>
      <c r="F74" s="25" t="s">
        <v>49</v>
      </c>
      <c r="G74" s="25"/>
      <c r="H74" s="25"/>
      <c r="I74" s="25"/>
      <c r="J74" s="25"/>
      <c r="K74" s="25"/>
      <c r="L74" s="2"/>
      <c r="M74" s="2"/>
    </row>
    <row r="75" spans="1:13">
      <c r="A75" s="2"/>
      <c r="B75" s="2"/>
      <c r="C75" s="2"/>
      <c r="D75" s="2"/>
      <c r="E75" s="2"/>
      <c r="F75" s="2"/>
      <c r="G75" s="2" t="s">
        <v>45</v>
      </c>
      <c r="H75" s="2"/>
      <c r="I75" s="2"/>
      <c r="J75" s="2"/>
      <c r="K75" s="2"/>
      <c r="L75" s="2"/>
      <c r="M75" s="2"/>
    </row>
    <row r="76" spans="1:13" ht="14.25" customHeight="1">
      <c r="A76" s="2"/>
      <c r="B76" s="2"/>
      <c r="C76" s="2"/>
      <c r="D76" s="2"/>
      <c r="E76" s="2"/>
      <c r="F76" s="2"/>
      <c r="G76" s="2" t="s">
        <v>46</v>
      </c>
      <c r="H76" s="2"/>
      <c r="I76" s="2"/>
      <c r="J76" s="2"/>
      <c r="K76" s="2"/>
      <c r="L76" s="2"/>
      <c r="M76" s="2"/>
    </row>
    <row r="77" spans="1:13" ht="13.5" customHeight="1">
      <c r="A77" s="2"/>
      <c r="B77" s="2"/>
      <c r="C77" s="2"/>
      <c r="D77" s="2"/>
      <c r="E77" s="2"/>
      <c r="F77" s="2"/>
      <c r="G77" s="2"/>
      <c r="H77" s="2" t="s">
        <v>47</v>
      </c>
      <c r="I77" s="2"/>
      <c r="J77" s="2"/>
      <c r="K77" s="2"/>
      <c r="L77" s="2"/>
      <c r="M77" s="2"/>
    </row>
    <row r="78" spans="1:13" ht="12" customHeight="1">
      <c r="A78" s="2"/>
      <c r="B78" s="2"/>
      <c r="C78" s="2"/>
      <c r="D78" s="2"/>
      <c r="E78" s="2"/>
      <c r="F78" s="2"/>
      <c r="G78" s="4" t="s">
        <v>48</v>
      </c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3.5">
      <c r="A80" s="2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1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1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15" t="s">
        <v>10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15" t="s">
        <v>11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15" t="s">
        <v>12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15" t="s">
        <v>13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15" t="s">
        <v>61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1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15" t="s">
        <v>54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15" t="s">
        <v>14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15" t="s">
        <v>15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15" t="s">
        <v>16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15" t="s">
        <v>17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15" t="s">
        <v>55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15" t="s">
        <v>18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8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4.25">
      <c r="A97" s="2"/>
      <c r="B97" s="14" t="s">
        <v>19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15" t="s">
        <v>20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15" t="s">
        <v>21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15" t="s">
        <v>62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15" t="s">
        <v>63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15" t="s">
        <v>64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15" t="s">
        <v>65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15" t="s">
        <v>22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15" t="s">
        <v>23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15" t="s">
        <v>24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15" t="s">
        <v>25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15" t="s">
        <v>26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15" t="s">
        <v>51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15" t="s">
        <v>52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15" t="s">
        <v>66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8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4.25">
      <c r="A113" s="2"/>
      <c r="B113" s="14" t="s">
        <v>27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35"/>
      <c r="C114" s="35"/>
      <c r="D114" s="35"/>
      <c r="E114" s="35"/>
      <c r="F114" s="35"/>
      <c r="G114" s="35"/>
      <c r="H114" s="35"/>
      <c r="I114" s="35"/>
      <c r="J114" s="35"/>
      <c r="K114" s="2"/>
      <c r="L114" s="2"/>
      <c r="M114" s="2"/>
    </row>
    <row r="115" spans="1:13">
      <c r="A115" s="2"/>
      <c r="B115" s="35"/>
      <c r="C115" s="35"/>
      <c r="D115" s="35"/>
      <c r="E115" s="35"/>
      <c r="F115" s="35"/>
      <c r="G115" s="35"/>
      <c r="H115" s="35"/>
      <c r="I115" s="35"/>
      <c r="J115" s="35"/>
      <c r="K115" s="2"/>
      <c r="L115" s="2"/>
      <c r="M115" s="2"/>
    </row>
    <row r="116" spans="1:13">
      <c r="A116" s="2"/>
      <c r="B116" s="35"/>
      <c r="C116" s="35"/>
      <c r="D116" s="35"/>
      <c r="E116" s="35"/>
      <c r="F116" s="35"/>
      <c r="G116" s="35"/>
      <c r="H116" s="35"/>
      <c r="I116" s="35"/>
      <c r="J116" s="35"/>
      <c r="K116" s="2"/>
      <c r="L116" s="2"/>
      <c r="M116" s="2"/>
    </row>
    <row r="117" spans="1:13">
      <c r="A117" s="2"/>
      <c r="B117" s="35"/>
      <c r="C117" s="35"/>
      <c r="D117" s="35"/>
      <c r="E117" s="35"/>
      <c r="F117" s="35"/>
      <c r="G117" s="35"/>
      <c r="H117" s="35"/>
      <c r="I117" s="35"/>
      <c r="J117" s="35"/>
      <c r="K117" s="2"/>
      <c r="L117" s="2"/>
      <c r="M117" s="2"/>
    </row>
    <row r="118" spans="1:13">
      <c r="A118" s="2"/>
      <c r="B118" s="8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4.25">
      <c r="A119" s="2"/>
      <c r="B119" s="14" t="s">
        <v>28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35"/>
      <c r="C120" s="35"/>
      <c r="D120" s="35"/>
      <c r="E120" s="35"/>
      <c r="F120" s="35"/>
      <c r="G120" s="35"/>
      <c r="H120" s="35"/>
      <c r="I120" s="35"/>
      <c r="J120" s="35"/>
      <c r="K120" s="2"/>
      <c r="L120" s="2"/>
      <c r="M120" s="2"/>
    </row>
    <row r="121" spans="1:13">
      <c r="A121" s="2"/>
      <c r="B121" s="35"/>
      <c r="C121" s="35"/>
      <c r="D121" s="35"/>
      <c r="E121" s="35"/>
      <c r="F121" s="35"/>
      <c r="G121" s="35"/>
      <c r="H121" s="35"/>
      <c r="I121" s="35"/>
      <c r="J121" s="35"/>
      <c r="K121" s="2"/>
      <c r="L121" s="2"/>
      <c r="M121" s="2"/>
    </row>
    <row r="122" spans="1:13">
      <c r="A122" s="2"/>
      <c r="B122" s="35"/>
      <c r="C122" s="35"/>
      <c r="D122" s="35"/>
      <c r="E122" s="35"/>
      <c r="F122" s="35"/>
      <c r="G122" s="35"/>
      <c r="H122" s="35"/>
      <c r="I122" s="35"/>
      <c r="J122" s="35"/>
      <c r="K122" s="2"/>
      <c r="L122" s="2"/>
      <c r="M122" s="2"/>
    </row>
    <row r="123" spans="1:13">
      <c r="A123" s="2"/>
      <c r="B123" s="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4.25">
      <c r="A124" s="2"/>
      <c r="B124" s="14" t="s">
        <v>29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4.25">
      <c r="A126" s="2"/>
      <c r="B126" s="14" t="s">
        <v>30</v>
      </c>
      <c r="C126" s="2"/>
      <c r="D126" s="2">
        <f>D9</f>
        <v>0</v>
      </c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15" t="s">
        <v>56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15" t="s">
        <v>10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15" t="s">
        <v>31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15" t="s">
        <v>32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8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15" t="s">
        <v>33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15" t="s">
        <v>34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4.25">
      <c r="B135" s="14" t="s">
        <v>10</v>
      </c>
      <c r="C135" s="2"/>
      <c r="D135" s="2"/>
      <c r="E135" s="14" t="s">
        <v>53</v>
      </c>
      <c r="F135" s="2"/>
      <c r="G135" s="2"/>
      <c r="H135" s="2"/>
      <c r="I135" s="2"/>
      <c r="J135" s="2"/>
      <c r="K135" s="2"/>
      <c r="L135" s="2"/>
    </row>
    <row r="136" spans="1:1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</sheetData>
  <sheetProtection selectLockedCells="1"/>
  <mergeCells count="41">
    <mergeCell ref="D57:K57"/>
    <mergeCell ref="F74:K74"/>
    <mergeCell ref="B114:J117"/>
    <mergeCell ref="B120:J122"/>
    <mergeCell ref="B58:L64"/>
    <mergeCell ref="K52:L52"/>
    <mergeCell ref="K53:L53"/>
    <mergeCell ref="K54:L54"/>
    <mergeCell ref="K55:L55"/>
    <mergeCell ref="C40:J40"/>
    <mergeCell ref="C47:J47"/>
    <mergeCell ref="B48:J48"/>
    <mergeCell ref="C41:J41"/>
    <mergeCell ref="C42:J42"/>
    <mergeCell ref="C45:J45"/>
    <mergeCell ref="C46:J46"/>
    <mergeCell ref="C38:J38"/>
    <mergeCell ref="C39:J39"/>
    <mergeCell ref="B29:J29"/>
    <mergeCell ref="C25:J25"/>
    <mergeCell ref="C26:J26"/>
    <mergeCell ref="C28:J28"/>
    <mergeCell ref="C36:J36"/>
    <mergeCell ref="C34:J34"/>
    <mergeCell ref="C35:J35"/>
    <mergeCell ref="C37:J37"/>
    <mergeCell ref="F1:K1"/>
    <mergeCell ref="C20:J20"/>
    <mergeCell ref="C27:J27"/>
    <mergeCell ref="C33:J33"/>
    <mergeCell ref="K10:M10"/>
    <mergeCell ref="K11:M11"/>
    <mergeCell ref="D9:E9"/>
    <mergeCell ref="D10:G10"/>
    <mergeCell ref="D11:H11"/>
    <mergeCell ref="B21:J21"/>
    <mergeCell ref="C15:J15"/>
    <mergeCell ref="C16:J16"/>
    <mergeCell ref="C17:J17"/>
    <mergeCell ref="C18:J18"/>
    <mergeCell ref="C19:J19"/>
  </mergeCells>
  <phoneticPr fontId="8" type="noConversion"/>
  <hyperlinks>
    <hyperlink ref="G78" r:id="rId1"/>
    <hyperlink ref="G5" r:id="rId2"/>
  </hyperlinks>
  <pageMargins left="0" right="0" top="0.39370078740157483" bottom="0.39370078740157483" header="0.51181102362204722" footer="0.51181102362204722"/>
  <pageSetup scale="90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8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8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cp:lastPrinted>2012-11-27T15:45:08Z</cp:lastPrinted>
  <dcterms:created xsi:type="dcterms:W3CDTF">2008-10-08T21:07:43Z</dcterms:created>
  <dcterms:modified xsi:type="dcterms:W3CDTF">2013-12-18T12:11:19Z</dcterms:modified>
</cp:coreProperties>
</file>